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35e3d5230a6b2d/Desktop/PW/"/>
    </mc:Choice>
  </mc:AlternateContent>
  <xr:revisionPtr revIDLastSave="0" documentId="8_{9282F989-ECFD-4C76-9EB5-1C9EDEC75E4D}" xr6:coauthVersionLast="47" xr6:coauthVersionMax="47" xr10:uidLastSave="{00000000-0000-0000-0000-000000000000}"/>
  <bookViews>
    <workbookView xWindow="-110" yWindow="-110" windowWidth="19420" windowHeight="10420" xr2:uid="{AB1CF1F6-3B9F-4568-936F-2AA8C47CCCFF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8" l="1"/>
  <c r="C2" i="7"/>
  <c r="D3" i="6"/>
  <c r="D4" i="6"/>
  <c r="D2" i="6"/>
  <c r="C2" i="5"/>
  <c r="D3" i="4"/>
  <c r="C3" i="3"/>
  <c r="C4" i="3"/>
  <c r="C5" i="3"/>
  <c r="C6" i="3"/>
  <c r="C2" i="3"/>
  <c r="D5" i="2"/>
  <c r="D4" i="2"/>
  <c r="D2" i="2"/>
  <c r="D3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<sst xmlns="http://schemas.openxmlformats.org/spreadsheetml/2006/main" count="63" uniqueCount="46">
  <si>
    <t>Student Name </t>
  </si>
  <si>
    <t>Marks</t>
  </si>
  <si>
    <t>Riya</t>
  </si>
  <si>
    <t>Siya</t>
  </si>
  <si>
    <t>Raju</t>
  </si>
  <si>
    <t>Rahul</t>
  </si>
  <si>
    <t>Ram</t>
  </si>
  <si>
    <t>Result</t>
  </si>
  <si>
    <t>Employee</t>
  </si>
  <si>
    <t>Sales</t>
  </si>
  <si>
    <t>Attendance</t>
  </si>
  <si>
    <t>Arjun</t>
  </si>
  <si>
    <t>Simran</t>
  </si>
  <si>
    <t>Rohit</t>
  </si>
  <si>
    <t>Anjali</t>
  </si>
  <si>
    <t>Student Name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</si>
  <si>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</si>
  <si>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</si>
  <si>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</si>
  <si>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</si>
  <si>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</si>
  <si>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</si>
  <si>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</si>
  <si>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</si>
  <si>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</si>
  <si>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</si>
  <si>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</si>
  <si>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</si>
  <si>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</si>
  <si>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</si>
  <si>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</si>
  <si>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</si>
  <si>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</si>
  <si>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 Amount</t>
  </si>
  <si>
    <t>Commission Rate</t>
  </si>
  <si>
    <t>Employee Name</t>
  </si>
  <si>
    <t>Leaves Taken</t>
  </si>
  <si>
    <t>Leaves Allowed</t>
  </si>
  <si>
    <t>Alex</t>
  </si>
  <si>
    <t>Bob</t>
  </si>
  <si>
    <t>Anna</t>
  </si>
  <si>
    <t>Salary</t>
  </si>
  <si>
    <t>E105</t>
  </si>
  <si>
    <t>E106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</si>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</sst>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5" borderId="0" xfId="0" applyFill="1"/>
    <xf numFmtId="0" fontId="0" fillId="6" borderId="0" xfId="0" applyFill="1"/>
    <xf numFmtId="0" fontId="0" fillId="3" borderId="0" xfId="0" applyFill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7" borderId="0" xfId="0" applyFill="1"/>
    <xf numFmtId="0" fontId="1" fillId="7" borderId="0" xfId="0" applyFont="1" applyFill="1"/>
    <xf numFmtId="0" fontId="0" fillId="2" borderId="0" xfId="0" applyFill="1"/>
    <xf numFmtId="0" fontId="0" fillId="8" borderId="0" xfId="0" applyFill="1"/>
    <xf numFmtId="0" fontId="1" fillId="2" borderId="0" xfId="0" applyFont="1" applyFill="1"/>
    <xf numFmtId="0" fontId="1" fillId="8" borderId="0" xfId="0" applyFont="1" applyFill="1"/>
    <xf numFmtId="0" fontId="3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0" fillId="11" borderId="0" xfId="0" applyFill="1"/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9" fontId="2" fillId="14" borderId="1" xfId="0" applyNumberFormat="1" applyFont="1" applyFill="1" applyBorder="1" applyAlignment="1">
      <alignment vertical="center" wrapText="1"/>
    </xf>
    <xf numFmtId="10" fontId="0" fillId="11" borderId="0" xfId="0" applyNumberFormat="1" applyFill="1"/>
    <xf numFmtId="0" fontId="2" fillId="8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F5C3-54E6-4C80-8DB6-BFD895771924}">
  <dimension ref="A1:C6"/>
  <sheetViews>
    <sheetView tabSelected="1" workbookViewId="0">
      <selection activeCell="D1" sqref="D1"/>
    </sheetView>
  </sheetViews>
  <sheetFormatPr defaultRowHeight="14.5" x14ac:dyDescent="0.35"/>
  <cols>
    <col min="1" max="1" width="14" customWidth="1"/>
    <col min="2" max="2" width="11.36328125" customWidth="1"/>
    <col min="3" max="3" width="12.54296875" customWidth="1"/>
  </cols>
  <sheetData>
    <row r="1" spans="1:3" ht="28.5" thickBot="1" x14ac:dyDescent="0.4">
      <c r="A1" s="13" t="s">
        <v>0</v>
      </c>
      <c r="B1" s="14" t="s">
        <v>1</v>
      </c>
      <c r="C1" s="15" t="s">
        <v>7</v>
      </c>
    </row>
    <row r="2" spans="1:3" ht="15" thickBot="1" x14ac:dyDescent="0.4">
      <c r="A2" s="2" t="s">
        <v>2</v>
      </c>
      <c r="B2" s="3">
        <v>45</v>
      </c>
      <c r="C2" s="4" t="str">
        <f>IF(B2&gt;=40,"Passed","Failed")</f>
        <v>Passed</v>
      </c>
    </row>
    <row r="3" spans="1:3" ht="15" thickBot="1" x14ac:dyDescent="0.4">
      <c r="A3" s="2" t="s">
        <v>3</v>
      </c>
      <c r="B3" s="3">
        <v>72</v>
      </c>
      <c r="C3" s="5" t="str">
        <f t="shared" ref="C3:C6" si="0">IF(B3&gt;=40,"Passed","Failed")</f>
        <v>Passed</v>
      </c>
    </row>
    <row r="4" spans="1:3" ht="15" thickBot="1" x14ac:dyDescent="0.4">
      <c r="A4" s="2" t="s">
        <v>4</v>
      </c>
      <c r="B4" s="3">
        <v>55</v>
      </c>
      <c r="C4" s="5" t="str">
        <f t="shared" si="0"/>
        <v>Passed</v>
      </c>
    </row>
    <row r="5" spans="1:3" ht="15" thickBot="1" x14ac:dyDescent="0.4">
      <c r="A5" s="2" t="s">
        <v>5</v>
      </c>
      <c r="B5" s="3">
        <v>80</v>
      </c>
      <c r="C5" s="5" t="str">
        <f t="shared" si="0"/>
        <v>Passed</v>
      </c>
    </row>
    <row r="6" spans="1:3" ht="15" thickBot="1" x14ac:dyDescent="0.4">
      <c r="A6" s="2" t="s">
        <v>6</v>
      </c>
      <c r="B6" s="3">
        <v>30</v>
      </c>
      <c r="C6" s="6" t="str">
        <f t="shared" si="0"/>
        <v>Failed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2991-89C5-4FB9-A9DB-2C7CAA58634F}">
  <dimension ref="A1:D5"/>
  <sheetViews>
    <sheetView workbookViewId="0">
      <selection sqref="A1:C1"/>
    </sheetView>
  </sheetViews>
  <sheetFormatPr defaultRowHeight="14.5" x14ac:dyDescent="0.35"/>
  <cols>
    <col min="3" max="3" width="10.1796875" bestFit="1" customWidth="1"/>
  </cols>
  <sheetData>
    <row r="1" spans="1:4" x14ac:dyDescent="0.35">
      <c r="A1" s="10" t="s">
        <v>8</v>
      </c>
      <c r="B1" s="11" t="s">
        <v>9</v>
      </c>
      <c r="C1" s="12" t="s">
        <v>10</v>
      </c>
      <c r="D1" s="17" t="s">
        <v>7</v>
      </c>
    </row>
    <row r="2" spans="1:4" x14ac:dyDescent="0.35">
      <c r="A2" s="7" t="s">
        <v>11</v>
      </c>
      <c r="B2" s="8">
        <v>55000</v>
      </c>
      <c r="C2" s="9">
        <v>95</v>
      </c>
      <c r="D2" s="16" t="str">
        <f>IF(AND(B2&gt;40000, C2&gt;=90), "Bonus", "No Bonus")</f>
        <v>Bonus</v>
      </c>
    </row>
    <row r="3" spans="1:4" x14ac:dyDescent="0.35">
      <c r="A3" s="7" t="s">
        <v>12</v>
      </c>
      <c r="B3" s="8">
        <v>65000</v>
      </c>
      <c r="C3" s="9">
        <v>85</v>
      </c>
      <c r="D3" s="16" t="str">
        <f>IF(AND(B3&gt;40000, C3&gt;=90), "Bonus", "No Bonus")</f>
        <v>No Bonus</v>
      </c>
    </row>
    <row r="4" spans="1:4" x14ac:dyDescent="0.35">
      <c r="A4" s="7" t="s">
        <v>13</v>
      </c>
      <c r="B4" s="8">
        <v>30000</v>
      </c>
      <c r="C4" s="9">
        <v>90</v>
      </c>
      <c r="D4" s="16" t="str">
        <f>IF(AND(B4&gt;40000, C4&gt;= 90), "Bonus", "No Bonus")</f>
        <v>No Bonus</v>
      </c>
    </row>
    <row r="5" spans="1:4" x14ac:dyDescent="0.35">
      <c r="A5" s="7" t="s">
        <v>14</v>
      </c>
      <c r="B5" s="8">
        <v>25000</v>
      </c>
      <c r="C5" s="9">
        <v>65</v>
      </c>
      <c r="D5" s="16" t="str">
        <f>IF(AND(B5&gt;40000, C5&gt;=90), "Bonus", "No Bonus")</f>
        <v>No Bonus</v>
      </c>
    </row>
  </sheetData>
  <pageMargins left="0.7" right="0.7" top="0.75" bottom="0.75" header="0.3" footer="0.3"/>
  <pageSetup orientation="portrait" r:id="rId1"/>
  <ignoredErrors>
    <ignoredError sqref="D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7F0C-DF78-4142-A5A1-FD15843D747D}">
  <dimension ref="A1:C6"/>
  <sheetViews>
    <sheetView workbookViewId="0">
      <selection activeCell="C2" sqref="C2"/>
    </sheetView>
  </sheetViews>
  <sheetFormatPr defaultRowHeight="14.5" x14ac:dyDescent="0.35"/>
  <cols>
    <col min="1" max="1" width="12.26953125" bestFit="1" customWidth="1"/>
  </cols>
  <sheetData>
    <row r="1" spans="1:3" x14ac:dyDescent="0.35">
      <c r="A1" s="20" t="s">
        <v>15</v>
      </c>
      <c r="B1" s="21" t="s">
        <v>1</v>
      </c>
      <c r="C1" s="11" t="s">
        <v>7</v>
      </c>
    </row>
    <row r="2" spans="1:3" x14ac:dyDescent="0.35">
      <c r="A2" s="18" t="s">
        <v>16</v>
      </c>
      <c r="B2" s="19">
        <v>85</v>
      </c>
      <c r="C2" s="8" t="str">
        <f>IF(B2&gt;=90, "A", IF(B2&gt;=75, "B", IF(B2&gt;=50, "C", "Fail")))</f>
        <v>B</v>
      </c>
    </row>
    <row r="3" spans="1:3" x14ac:dyDescent="0.35">
      <c r="A3" s="18" t="s">
        <v>17</v>
      </c>
      <c r="B3" s="19">
        <v>96</v>
      </c>
      <c r="C3" s="8" t="str">
        <f t="shared" ref="C3:C6" si="0">IF(B3&gt;=90, "A", IF(B3&gt;=75, "B", IF(B3&gt;=50, "C", "Fail")))</f>
        <v>A</v>
      </c>
    </row>
    <row r="4" spans="1:3" x14ac:dyDescent="0.35">
      <c r="A4" s="18" t="s">
        <v>18</v>
      </c>
      <c r="B4" s="19">
        <v>57</v>
      </c>
      <c r="C4" s="8" t="str">
        <f t="shared" si="0"/>
        <v>C</v>
      </c>
    </row>
    <row r="5" spans="1:3" x14ac:dyDescent="0.35">
      <c r="A5" s="18" t="s">
        <v>19</v>
      </c>
      <c r="B5" s="19">
        <v>92</v>
      </c>
      <c r="C5" s="8" t="str">
        <f t="shared" si="0"/>
        <v>A</v>
      </c>
    </row>
    <row r="6" spans="1:3" x14ac:dyDescent="0.35">
      <c r="A6" s="18" t="s">
        <v>20</v>
      </c>
      <c r="B6" s="19">
        <v>75</v>
      </c>
      <c r="C6" s="8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E889-6A39-4AEC-84F8-BF5876D7F186}">
  <dimension ref="A1:D5"/>
  <sheetViews>
    <sheetView workbookViewId="0">
      <selection activeCell="D3" sqref="D3"/>
    </sheetView>
  </sheetViews>
  <sheetFormatPr defaultRowHeight="14.5" x14ac:dyDescent="0.35"/>
  <cols>
    <col min="1" max="1" width="7" bestFit="1" customWidth="1"/>
    <col min="2" max="2" width="6.90625" bestFit="1" customWidth="1"/>
    <col min="3" max="3" width="13" customWidth="1"/>
  </cols>
  <sheetData>
    <row r="1" spans="1:4" ht="28.5" thickBot="1" x14ac:dyDescent="0.4">
      <c r="A1" s="13" t="s">
        <v>21</v>
      </c>
      <c r="B1" s="22" t="s">
        <v>22</v>
      </c>
      <c r="C1" s="24" t="s">
        <v>23</v>
      </c>
    </row>
    <row r="2" spans="1:4" ht="15" thickBot="1" x14ac:dyDescent="0.4">
      <c r="A2" s="1" t="s">
        <v>24</v>
      </c>
      <c r="B2" s="23" t="s">
        <v>4</v>
      </c>
      <c r="C2" s="25" t="s">
        <v>25</v>
      </c>
    </row>
    <row r="3" spans="1:4" ht="15" thickBot="1" x14ac:dyDescent="0.4">
      <c r="A3" s="1" t="s">
        <v>26</v>
      </c>
      <c r="B3" s="23" t="s">
        <v>2</v>
      </c>
      <c r="C3" s="25" t="s">
        <v>27</v>
      </c>
      <c r="D3" s="26" t="str">
        <f>VLOOKUP("E103", A2:C5, 3, FALSE)</f>
        <v>Finance</v>
      </c>
    </row>
    <row r="4" spans="1:4" ht="15" thickBot="1" x14ac:dyDescent="0.4">
      <c r="A4" s="1" t="s">
        <v>28</v>
      </c>
      <c r="B4" s="23" t="s">
        <v>29</v>
      </c>
      <c r="C4" s="25" t="s">
        <v>30</v>
      </c>
    </row>
    <row r="5" spans="1:4" ht="15" thickBot="1" x14ac:dyDescent="0.4">
      <c r="A5" s="1" t="s">
        <v>31</v>
      </c>
      <c r="B5" s="23" t="s">
        <v>32</v>
      </c>
      <c r="C5" s="2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C5E8-BFEA-4A88-923F-08E7DDCFF567}">
  <dimension ref="A1:C5"/>
  <sheetViews>
    <sheetView workbookViewId="0">
      <selection activeCell="C17" sqref="C17"/>
    </sheetView>
  </sheetViews>
  <sheetFormatPr defaultRowHeight="14.5" x14ac:dyDescent="0.35"/>
  <cols>
    <col min="1" max="1" width="16" customWidth="1"/>
    <col min="2" max="2" width="18.6328125" customWidth="1"/>
  </cols>
  <sheetData>
    <row r="1" spans="1:3" ht="15" thickBot="1" x14ac:dyDescent="0.4">
      <c r="A1" s="28" t="s">
        <v>33</v>
      </c>
      <c r="B1" s="29" t="s">
        <v>34</v>
      </c>
    </row>
    <row r="2" spans="1:3" ht="15" thickBot="1" x14ac:dyDescent="0.4">
      <c r="A2" s="28">
        <v>0</v>
      </c>
      <c r="B2" s="30">
        <v>0.05</v>
      </c>
      <c r="C2" s="31">
        <f>VLOOKUP(45000, A2:B5, 2, TRUE)</f>
        <v>0.1</v>
      </c>
    </row>
    <row r="3" spans="1:3" ht="15" thickBot="1" x14ac:dyDescent="0.4">
      <c r="A3" s="28">
        <v>20000</v>
      </c>
      <c r="B3" s="30">
        <v>0.1</v>
      </c>
    </row>
    <row r="4" spans="1:3" ht="15" thickBot="1" x14ac:dyDescent="0.4">
      <c r="A4" s="28">
        <v>50000</v>
      </c>
      <c r="B4" s="30">
        <v>0.15</v>
      </c>
    </row>
    <row r="5" spans="1:3" ht="15" thickBot="1" x14ac:dyDescent="0.4">
      <c r="A5" s="28">
        <v>80000</v>
      </c>
      <c r="B5" s="30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B685-FF8C-4770-8D74-2A787CB19968}">
  <dimension ref="A1:D4"/>
  <sheetViews>
    <sheetView workbookViewId="0">
      <selection activeCell="G20" sqref="G20"/>
    </sheetView>
  </sheetViews>
  <sheetFormatPr defaultRowHeight="14.5" x14ac:dyDescent="0.35"/>
  <cols>
    <col min="1" max="1" width="20.1796875" customWidth="1"/>
    <col min="2" max="2" width="14.7265625" customWidth="1"/>
    <col min="3" max="3" width="16.453125" customWidth="1"/>
  </cols>
  <sheetData>
    <row r="1" spans="1:4" ht="28.5" thickBot="1" x14ac:dyDescent="0.4">
      <c r="A1" s="28" t="s">
        <v>35</v>
      </c>
      <c r="B1" s="32" t="s">
        <v>36</v>
      </c>
      <c r="C1" s="29" t="s">
        <v>37</v>
      </c>
    </row>
    <row r="2" spans="1:4" ht="15" thickBot="1" x14ac:dyDescent="0.4">
      <c r="A2" s="28" t="s">
        <v>38</v>
      </c>
      <c r="B2" s="32">
        <v>10</v>
      </c>
      <c r="C2" s="29">
        <v>12</v>
      </c>
      <c r="D2" s="26" t="str">
        <f>IF(B2&gt;C2, "Exceeded", "OK")</f>
        <v>OK</v>
      </c>
    </row>
    <row r="3" spans="1:4" ht="15" thickBot="1" x14ac:dyDescent="0.4">
      <c r="A3" s="28" t="s">
        <v>39</v>
      </c>
      <c r="B3" s="32">
        <v>10</v>
      </c>
      <c r="C3" s="29">
        <v>15</v>
      </c>
      <c r="D3" s="26" t="str">
        <f t="shared" ref="D3:D4" si="0">IF(B3&gt;C3, "Exceeded", "OK")</f>
        <v>OK</v>
      </c>
    </row>
    <row r="4" spans="1:4" ht="15" thickBot="1" x14ac:dyDescent="0.4">
      <c r="A4" s="28" t="s">
        <v>40</v>
      </c>
      <c r="B4" s="32">
        <v>8</v>
      </c>
      <c r="C4" s="29">
        <v>12</v>
      </c>
      <c r="D4" s="26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A432-2EAB-48A5-B849-E10B6EEEAB6F}">
  <dimension ref="A1:C5"/>
  <sheetViews>
    <sheetView workbookViewId="0">
      <selection activeCell="C2" sqref="C2"/>
    </sheetView>
  </sheetViews>
  <sheetFormatPr defaultRowHeight="14.5" x14ac:dyDescent="0.35"/>
  <sheetData>
    <row r="1" spans="1:3" ht="15" thickBot="1" x14ac:dyDescent="0.4">
      <c r="A1" s="27" t="s">
        <v>21</v>
      </c>
      <c r="B1" s="32" t="s">
        <v>41</v>
      </c>
    </row>
    <row r="2" spans="1:3" ht="15" thickBot="1" x14ac:dyDescent="0.4">
      <c r="A2" s="27" t="s">
        <v>31</v>
      </c>
      <c r="B2" s="32">
        <v>55000</v>
      </c>
      <c r="C2" s="26">
        <f>INDEX(B2:B5, MATCH("E105", A2:A5, 0))</f>
        <v>72000</v>
      </c>
    </row>
    <row r="3" spans="1:3" ht="15" thickBot="1" x14ac:dyDescent="0.4">
      <c r="A3" s="27" t="s">
        <v>42</v>
      </c>
      <c r="B3" s="32">
        <v>72000</v>
      </c>
    </row>
    <row r="4" spans="1:3" ht="15" thickBot="1" x14ac:dyDescent="0.4">
      <c r="A4" s="27" t="s">
        <v>43</v>
      </c>
      <c r="B4" s="32">
        <v>62000</v>
      </c>
    </row>
    <row r="5" spans="1:3" ht="15" thickBot="1" x14ac:dyDescent="0.4">
      <c r="A5" s="27" t="s">
        <v>26</v>
      </c>
      <c r="B5" s="32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0BEC-89A2-424F-90E8-086C5C99654C}">
  <dimension ref="A1:C5"/>
  <sheetViews>
    <sheetView workbookViewId="0">
      <selection activeCell="C2" sqref="C2"/>
    </sheetView>
  </sheetViews>
  <sheetFormatPr defaultRowHeight="14.5" x14ac:dyDescent="0.35"/>
  <sheetData>
    <row r="1" spans="1:3" ht="15" thickBot="1" x14ac:dyDescent="0.4">
      <c r="A1" s="33" t="s">
        <v>21</v>
      </c>
      <c r="B1" s="34" t="s">
        <v>41</v>
      </c>
    </row>
    <row r="2" spans="1:3" ht="15" thickBot="1" x14ac:dyDescent="0.4">
      <c r="A2" s="28" t="s">
        <v>24</v>
      </c>
      <c r="B2" s="32" t="s">
        <v>27</v>
      </c>
      <c r="C2" s="26" t="str">
        <f>_xlfn.XLOOKUP("E303", A2:A5, B2:B5)</f>
        <v>IT</v>
      </c>
    </row>
    <row r="3" spans="1:3" ht="15" thickBot="1" x14ac:dyDescent="0.4">
      <c r="A3" s="28" t="s">
        <v>44</v>
      </c>
      <c r="B3" s="32" t="s">
        <v>25</v>
      </c>
    </row>
    <row r="4" spans="1:3" ht="15" thickBot="1" x14ac:dyDescent="0.4">
      <c r="A4" s="28" t="s">
        <v>43</v>
      </c>
      <c r="B4" s="32" t="s">
        <v>9</v>
      </c>
    </row>
    <row r="5" spans="1:3" ht="15" thickBot="1" x14ac:dyDescent="0.4">
      <c r="A5" s="28" t="s">
        <v>45</v>
      </c>
      <c r="B5" s="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pratyush</dc:creator>
  <cp:lastModifiedBy>amrit pratyush</cp:lastModifiedBy>
  <dcterms:created xsi:type="dcterms:W3CDTF">2026-01-20T09:41:53Z</dcterms:created>
  <dcterms:modified xsi:type="dcterms:W3CDTF">2026-01-20T11:34:41Z</dcterms:modified>
</cp:coreProperties>
</file>